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ing Report" sheetId="1" state="visible" r:id="rId3"/>
    <sheet name="Agency Log" sheetId="2" state="visible" r:id="rId4"/>
    <sheet name="Reference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<sst xmlns="http://schemas.openxmlformats.org/spreadsheetml/2006/main" count="135" uniqueCount="54">
  <si>
    <t xml:space="preserve">Highland Care Center — Staffing Report  |  June 2026</t>
  </si>
  <si>
    <t xml:space="preserve">🟡 Yellow cells = manual input  |  All other cells auto-calculated from payroll data</t>
  </si>
  <si>
    <t xml:space="preserve">  6/4/2026</t>
  </si>
  <si>
    <t xml:space="preserve">Census:</t>
  </si>
  <si>
    <t xml:space="preserve">Position</t>
  </si>
  <si>
    <t xml:space="preserve">Total Hours</t>
  </si>
  <si>
    <t xml:space="preserve">OT Hours</t>
  </si>
  <si>
    <t xml:space="preserve">OT %</t>
  </si>
  <si>
    <t xml:space="preserve">Agency Hours</t>
  </si>
  <si>
    <t xml:space="preserve">Agency OT Hrs</t>
  </si>
  <si>
    <t xml:space="preserve">Agency %</t>
  </si>
  <si>
    <t xml:space="preserve">Agency OT %</t>
  </si>
  <si>
    <t xml:space="preserve">HPPD</t>
  </si>
  <si>
    <t xml:space="preserve">CNA</t>
  </si>
  <si>
    <t xml:space="preserve">LPN</t>
  </si>
  <si>
    <t xml:space="preserve">RN</t>
  </si>
  <si>
    <t xml:space="preserve">HHA</t>
  </si>
  <si>
    <t xml:space="preserve">-</t>
  </si>
  <si>
    <t xml:space="preserve">Total</t>
  </si>
  <si>
    <t xml:space="preserve">  6/11/2026</t>
  </si>
  <si>
    <t xml:space="preserve">  6/18/2026</t>
  </si>
  <si>
    <t xml:space="preserve">  6/25/2026</t>
  </si>
  <si>
    <t xml:space="preserve">Agency Hours Log  —  Enter invoice data here</t>
  </si>
  <si>
    <t xml:space="preserve">Position options: CNA, LPN, RN, HHA  |  Add one row per agency per position per week</t>
  </si>
  <si>
    <t xml:space="preserve">Week Ending</t>
  </si>
  <si>
    <t xml:space="preserve">Agency Name</t>
  </si>
  <si>
    <t xml:space="preserve">Reg Hours</t>
  </si>
  <si>
    <t xml:space="preserve">Notes</t>
  </si>
  <si>
    <t xml:space="preserve">6/4/2026</t>
  </si>
  <si>
    <t xml:space="preserve">6/11/2026</t>
  </si>
  <si>
    <t xml:space="preserve">6/18/2026</t>
  </si>
  <si>
    <t xml:space="preserve">6/25/2026</t>
  </si>
  <si>
    <t xml:space="preserve">Reference Notes — Auto-population Rules</t>
  </si>
  <si>
    <t xml:space="preserve">PAYROLL AUTO-POPULATION</t>
  </si>
  <si>
    <t xml:space="preserve">CNA Hours</t>
  </si>
  <si>
    <t xml:space="preserve">Job Category = "CNA"  |  Earnings = REGHRLY + OT-Overtime + SALARY</t>
  </si>
  <si>
    <t xml:space="preserve">LPN Hours</t>
  </si>
  <si>
    <t xml:space="preserve">Job Category = "LPN" or "LPN - Wound Care"  |  Same earnings</t>
  </si>
  <si>
    <t xml:space="preserve">RN Hours</t>
  </si>
  <si>
    <t xml:space="preserve">Job Category = "RN", "RN - Supervisor/Unit Manager", "RN - Supervisor/Unit Manager (NA)"  |  Same earnings</t>
  </si>
  <si>
    <t xml:space="preserve">HHA Hours</t>
  </si>
  <si>
    <t xml:space="preserve">Not in payroll — agency only, enter in Agency Log</t>
  </si>
  <si>
    <t xml:space="preserve">OT Hours (payroll)</t>
  </si>
  <si>
    <t xml:space="preserve">Only "OT-Overtime" code — Holiday OT (HOLOT) excluded per convention</t>
  </si>
  <si>
    <t xml:space="preserve">AGENCY</t>
  </si>
  <si>
    <t xml:space="preserve">Enter in Agency Log sheet → weekly tables pull from there</t>
  </si>
  <si>
    <t xml:space="preserve">Always agency — enter in Agency Log as HHA</t>
  </si>
  <si>
    <t xml:space="preserve">Formula</t>
  </si>
  <si>
    <t xml:space="preserve">(Payroll Hours + Agency Hours) / Census</t>
  </si>
  <si>
    <t xml:space="preserve">Census</t>
  </si>
  <si>
    <t xml:space="preserve">Manual entry — yellow cell in each week header</t>
  </si>
  <si>
    <t xml:space="preserve">COST CENTER FILTER</t>
  </si>
  <si>
    <t xml:space="preserve">Highland Care only</t>
  </si>
  <si>
    <t xml:space="preserve">Cost centers starting with "20020315" — Achieve (20020738) excluded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</si>
</sst>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BF3FA"/>
      </patternFill>
    </fill>
    <fill>
      <patternFill patternType="solid">
        <fgColor rgb="FFFFFFFF"/>
        <bgColor rgb="FFEBF3FA"/>
      </patternFill>
    </fill>
    <fill>
      <patternFill patternType="solid">
        <fgColor rgb="FFEBF3FA"/>
        <bgColor rgb="FFFFFFFF"/>
      </patternFill>
    </fill>
    <fill>
      <patternFill patternType="solid">
        <fgColor rgb="FFD6E4F0"/>
        <bgColor rgb="FFEBF3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1F3864"/>
      </left>
      <right style="thin">
        <color rgb="FFB8CCE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8CCE4"/>
      </left>
      <right style="thin">
        <color rgb="FFB8CCE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8CCE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4" t="s">
        <v>3</v>
      </c>
      <c r="K4" s="5"/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customFormat="false" ht="18" hidden="false" customHeight="true" outlineLevel="0" collapsed="false">
      <c r="A6" s="7" t="s">
        <v>13</v>
      </c>
      <c r="B6" s="8" t="n">
        <v>4106.25</v>
      </c>
      <c r="C6" s="8" t="n">
        <v>54.5</v>
      </c>
      <c r="D6" s="9" t="n">
        <f aca="false">C6/B6</f>
        <v>0.0132724505327245</v>
      </c>
      <c r="E6" s="10"/>
      <c r="F6" s="10"/>
      <c r="G6" s="9" t="n">
        <f aca="false">IF(B6=0,0,E6/B6)</f>
        <v>0</v>
      </c>
      <c r="H6" s="9" t="n">
        <v>0</v>
      </c>
      <c r="I6" s="11" t="n">
        <f aca="false">IF(K4=0,0,(B6+IF(ISNUMBER(E6),E6,0))/K4)</f>
        <v>0</v>
      </c>
    </row>
    <row r="7" customFormat="false" ht="18" hidden="false" customHeight="true" outlineLevel="0" collapsed="false">
      <c r="A7" s="12" t="s">
        <v>14</v>
      </c>
      <c r="B7" s="13" t="n">
        <v>1237.5</v>
      </c>
      <c r="C7" s="13" t="n">
        <v>279.75</v>
      </c>
      <c r="D7" s="14" t="n">
        <f aca="false">C7/B7</f>
        <v>0.226060606060606</v>
      </c>
      <c r="E7" s="10"/>
      <c r="F7" s="10"/>
      <c r="G7" s="14" t="n">
        <f aca="false">IF(B7=0,0,E7/B7)</f>
        <v>0</v>
      </c>
      <c r="H7" s="14" t="n">
        <v>0</v>
      </c>
      <c r="I7" s="15" t="n">
        <f aca="false">IF(K4=0,0,(B7+IF(ISNUMBER(E7),E7,0))/K4)</f>
        <v>0</v>
      </c>
    </row>
    <row r="8" customFormat="false" ht="18" hidden="false" customHeight="true" outlineLevel="0" collapsed="false">
      <c r="A8" s="7" t="s">
        <v>15</v>
      </c>
      <c r="B8" s="8" t="n">
        <v>594</v>
      </c>
      <c r="C8" s="8"/>
      <c r="D8" s="9" t="n">
        <f aca="false">C8/B8</f>
        <v>0</v>
      </c>
      <c r="E8" s="10"/>
      <c r="F8" s="10"/>
      <c r="G8" s="9" t="n">
        <f aca="false">IF(B8=0,0,E8/B8)</f>
        <v>0</v>
      </c>
      <c r="H8" s="9" t="n">
        <v>0</v>
      </c>
      <c r="I8" s="11" t="n">
        <f aca="false">IF(K4=0,0,(B8+IF(ISNUMBER(E8),E8,0))/K4)</f>
        <v>0</v>
      </c>
    </row>
    <row r="9" customFormat="false" ht="18" hidden="false" customHeight="true" outlineLevel="0" collapsed="false">
      <c r="A9" s="12" t="s">
        <v>16</v>
      </c>
      <c r="B9" s="13"/>
      <c r="C9" s="13"/>
      <c r="D9" s="14" t="n">
        <v>0</v>
      </c>
      <c r="E9" s="10"/>
      <c r="F9" s="10"/>
      <c r="G9" s="16" t="s">
        <v>17</v>
      </c>
      <c r="H9" s="14" t="n">
        <v>0</v>
      </c>
      <c r="I9" s="15" t="n">
        <f aca="false">IF(K4=0,0,(B9+IF(ISNUMBER(E9),E9,0))/K4)</f>
        <v>0</v>
      </c>
    </row>
    <row r="10" customFormat="false" ht="19.5" hidden="false" customHeight="true" outlineLevel="0" collapsed="false">
      <c r="A10" s="17" t="s">
        <v>18</v>
      </c>
      <c r="B10" s="18" t="n">
        <f aca="false">SUM(B6:B9)</f>
        <v>5937.75</v>
      </c>
      <c r="C10" s="19" t="n">
        <f aca="false">SUM(C6:C9)</f>
        <v>334.25</v>
      </c>
      <c r="D10" s="20" t="n">
        <f aca="false">IF(B10=0,0,C10/B10)</f>
        <v>0.0562923666371942</v>
      </c>
      <c r="E10" s="19" t="n">
        <f aca="false">SUM(E6:E9)</f>
        <v>0</v>
      </c>
      <c r="F10" s="19" t="n">
        <f aca="false">SUM(F6:F9)</f>
        <v>0</v>
      </c>
      <c r="G10" s="20" t="n">
        <f aca="false">IF(B10=0,0,E10/B10)</f>
        <v>0</v>
      </c>
      <c r="H10" s="20" t="n">
        <f aca="false">IF(E10=0,0,F10/E10)</f>
        <v>0</v>
      </c>
      <c r="I10" s="21" t="n">
        <f aca="false">IF(K4=0,0,(B10+IF(ISNUMBER(E10),E10,0))/K4)</f>
        <v>0</v>
      </c>
    </row>
    <row r="11" customFormat="false" ht="6" hidden="false" customHeight="true" outlineLevel="0" collapsed="false"/>
    <row r="12" customFormat="false" ht="21.75" hidden="false" customHeight="true" outlineLevel="0" collapsed="false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4" t="s">
        <v>3</v>
      </c>
      <c r="K12" s="5"/>
    </row>
    <row r="13" customFormat="false" ht="30" hidden="false" customHeight="true" outlineLevel="0" collapsed="false">
      <c r="A13" s="6" t="s">
        <v>4</v>
      </c>
      <c r="B13" s="6" t="s">
        <v>5</v>
      </c>
      <c r="C13" s="6" t="s">
        <v>6</v>
      </c>
      <c r="D13" s="6" t="s">
        <v>7</v>
      </c>
      <c r="E13" s="6" t="s">
        <v>8</v>
      </c>
      <c r="F13" s="6" t="s">
        <v>9</v>
      </c>
      <c r="G13" s="6" t="s">
        <v>10</v>
      </c>
      <c r="H13" s="6" t="s">
        <v>11</v>
      </c>
      <c r="I13" s="6" t="s">
        <v>12</v>
      </c>
    </row>
    <row r="14" customFormat="false" ht="18" hidden="false" customHeight="true" outlineLevel="0" collapsed="false">
      <c r="A14" s="7" t="s">
        <v>13</v>
      </c>
      <c r="B14" s="8" t="n">
        <v>4270.25</v>
      </c>
      <c r="C14" s="8" t="n">
        <v>56.5</v>
      </c>
      <c r="D14" s="9" t="n">
        <f aca="false">C14/B14</f>
        <v>0.0132310754639658</v>
      </c>
      <c r="E14" s="10"/>
      <c r="F14" s="10"/>
      <c r="G14" s="9" t="n">
        <f aca="false">IF(B14=0,0,E14/B14)</f>
        <v>0</v>
      </c>
      <c r="H14" s="9" t="n">
        <v>0</v>
      </c>
      <c r="I14" s="11" t="n">
        <f aca="false">IF(K12=0,0,(B14+IF(ISNUMBER(E14),E14,0))/K12)</f>
        <v>0</v>
      </c>
    </row>
    <row r="15" customFormat="false" ht="18" hidden="false" customHeight="true" outlineLevel="0" collapsed="false">
      <c r="A15" s="12" t="s">
        <v>14</v>
      </c>
      <c r="B15" s="13" t="n">
        <v>1151</v>
      </c>
      <c r="C15" s="13" t="n">
        <v>223.5</v>
      </c>
      <c r="D15" s="14" t="n">
        <f aca="false">C15/B15</f>
        <v>0.194178974804518</v>
      </c>
      <c r="E15" s="10"/>
      <c r="F15" s="10"/>
      <c r="G15" s="14" t="n">
        <f aca="false">IF(B15=0,0,E15/B15)</f>
        <v>0</v>
      </c>
      <c r="H15" s="14" t="n">
        <v>0</v>
      </c>
      <c r="I15" s="15" t="n">
        <f aca="false">IF(K12=0,0,(B15+IF(ISNUMBER(E15),E15,0))/K12)</f>
        <v>0</v>
      </c>
    </row>
    <row r="16" customFormat="false" ht="18" hidden="false" customHeight="true" outlineLevel="0" collapsed="false">
      <c r="A16" s="7" t="s">
        <v>15</v>
      </c>
      <c r="B16" s="8" t="n">
        <v>593</v>
      </c>
      <c r="C16" s="8"/>
      <c r="D16" s="9" t="n">
        <f aca="false">C16/B16</f>
        <v>0</v>
      </c>
      <c r="E16" s="10"/>
      <c r="F16" s="10"/>
      <c r="G16" s="9" t="n">
        <f aca="false">IF(B16=0,0,E16/B16)</f>
        <v>0</v>
      </c>
      <c r="H16" s="9" t="n">
        <v>0</v>
      </c>
      <c r="I16" s="11" t="n">
        <f aca="false">IF(K12=0,0,(B16+IF(ISNUMBER(E16),E16,0))/K12)</f>
        <v>0</v>
      </c>
    </row>
    <row r="17" customFormat="false" ht="18" hidden="false" customHeight="true" outlineLevel="0" collapsed="false">
      <c r="A17" s="12" t="s">
        <v>16</v>
      </c>
      <c r="B17" s="13"/>
      <c r="C17" s="13"/>
      <c r="D17" s="14" t="n">
        <v>0</v>
      </c>
      <c r="E17" s="10"/>
      <c r="F17" s="10"/>
      <c r="G17" s="16" t="s">
        <v>17</v>
      </c>
      <c r="H17" s="14" t="n">
        <v>0</v>
      </c>
      <c r="I17" s="15" t="n">
        <f aca="false">IF(K12=0,0,(B17+IF(ISNUMBER(E17),E17,0))/K12)</f>
        <v>0</v>
      </c>
    </row>
    <row r="18" customFormat="false" ht="19.5" hidden="false" customHeight="true" outlineLevel="0" collapsed="false">
      <c r="A18" s="17" t="s">
        <v>18</v>
      </c>
      <c r="B18" s="18" t="n">
        <f aca="false">SUM(B14:B17)</f>
        <v>6014.25</v>
      </c>
      <c r="C18" s="19" t="n">
        <f aca="false">SUM(C14:C17)</f>
        <v>280</v>
      </c>
      <c r="D18" s="20" t="n">
        <f aca="false">IF(B18=0,0,C18/B18)</f>
        <v>0.046556095938812</v>
      </c>
      <c r="E18" s="19" t="n">
        <f aca="false">SUM(E14:E17)</f>
        <v>0</v>
      </c>
      <c r="F18" s="19" t="n">
        <f aca="false">SUM(F14:F17)</f>
        <v>0</v>
      </c>
      <c r="G18" s="20" t="n">
        <f aca="false">IF(B18=0,0,E18/B18)</f>
        <v>0</v>
      </c>
      <c r="H18" s="20" t="n">
        <f aca="false">IF(E18=0,0,F18/E18)</f>
        <v>0</v>
      </c>
      <c r="I18" s="21" t="n">
        <f aca="false">IF(K12=0,0,(B18+IF(ISNUMBER(E18),E18,0))/K12)</f>
        <v>0</v>
      </c>
    </row>
    <row r="19" customFormat="false" ht="6" hidden="false" customHeight="true" outlineLevel="0" collapsed="false"/>
    <row r="20" customFormat="false" ht="21.75" hidden="false" customHeight="true" outlineLevel="0" collapsed="false">
      <c r="A20" s="3" t="s">
        <v>20</v>
      </c>
      <c r="B20" s="3"/>
      <c r="C20" s="3"/>
      <c r="D20" s="3"/>
      <c r="E20" s="3"/>
      <c r="F20" s="3"/>
      <c r="G20" s="3"/>
      <c r="H20" s="3"/>
      <c r="I20" s="3"/>
      <c r="J20" s="4" t="s">
        <v>3</v>
      </c>
      <c r="K20" s="5"/>
    </row>
    <row r="21" customFormat="false" ht="30" hidden="false" customHeight="true" outlineLevel="0" collapsed="false">
      <c r="A21" s="6" t="s">
        <v>4</v>
      </c>
      <c r="B21" s="6" t="s">
        <v>5</v>
      </c>
      <c r="C21" s="6" t="s">
        <v>6</v>
      </c>
      <c r="D21" s="6" t="s">
        <v>7</v>
      </c>
      <c r="E21" s="6" t="s">
        <v>8</v>
      </c>
      <c r="F21" s="6" t="s">
        <v>9</v>
      </c>
      <c r="G21" s="6" t="s">
        <v>10</v>
      </c>
      <c r="H21" s="6" t="s">
        <v>11</v>
      </c>
      <c r="I21" s="6" t="s">
        <v>12</v>
      </c>
    </row>
    <row r="22" customFormat="false" ht="18" hidden="false" customHeight="true" outlineLevel="0" collapsed="false">
      <c r="A22" s="7" t="s">
        <v>13</v>
      </c>
      <c r="B22" s="8" t="n">
        <v>4169.75</v>
      </c>
      <c r="C22" s="8" t="n">
        <v>85.5</v>
      </c>
      <c r="D22" s="9" t="n">
        <f aca="false">C22/B22</f>
        <v>0.020504826428443</v>
      </c>
      <c r="E22" s="10"/>
      <c r="F22" s="10"/>
      <c r="G22" s="9" t="n">
        <f aca="false">IF(B22=0,0,E22/B22)</f>
        <v>0</v>
      </c>
      <c r="H22" s="9" t="n">
        <v>0</v>
      </c>
      <c r="I22" s="11" t="n">
        <f aca="false">IF(K20=0,0,(B22+IF(ISNUMBER(E22),E22,0))/K20)</f>
        <v>0</v>
      </c>
    </row>
    <row r="23" customFormat="false" ht="18" hidden="false" customHeight="true" outlineLevel="0" collapsed="false">
      <c r="A23" s="12" t="s">
        <v>14</v>
      </c>
      <c r="B23" s="13" t="n">
        <v>1135.75</v>
      </c>
      <c r="C23" s="13" t="n">
        <v>280</v>
      </c>
      <c r="D23" s="14" t="n">
        <f aca="false">C23/B23</f>
        <v>0.24653312788906</v>
      </c>
      <c r="E23" s="10"/>
      <c r="F23" s="10"/>
      <c r="G23" s="14" t="n">
        <f aca="false">IF(B23=0,0,E23/B23)</f>
        <v>0</v>
      </c>
      <c r="H23" s="14" t="n">
        <v>0</v>
      </c>
      <c r="I23" s="15" t="n">
        <f aca="false">IF(K20=0,0,(B23+IF(ISNUMBER(E23),E23,0))/K20)</f>
        <v>0</v>
      </c>
    </row>
    <row r="24" customFormat="false" ht="18" hidden="false" customHeight="true" outlineLevel="0" collapsed="false">
      <c r="A24" s="7" t="s">
        <v>15</v>
      </c>
      <c r="B24" s="8" t="n">
        <v>632.5</v>
      </c>
      <c r="C24" s="8"/>
      <c r="D24" s="9" t="n">
        <f aca="false">C24/B24</f>
        <v>0</v>
      </c>
      <c r="E24" s="10"/>
      <c r="F24" s="10"/>
      <c r="G24" s="9" t="n">
        <f aca="false">IF(B24=0,0,E24/B24)</f>
        <v>0</v>
      </c>
      <c r="H24" s="9" t="n">
        <v>0</v>
      </c>
      <c r="I24" s="11" t="n">
        <f aca="false">IF(K20=0,0,(B24+IF(ISNUMBER(E24),E24,0))/K20)</f>
        <v>0</v>
      </c>
    </row>
    <row r="25" customFormat="false" ht="18" hidden="false" customHeight="true" outlineLevel="0" collapsed="false">
      <c r="A25" s="12" t="s">
        <v>16</v>
      </c>
      <c r="B25" s="13"/>
      <c r="C25" s="13"/>
      <c r="D25" s="14" t="n">
        <v>0</v>
      </c>
      <c r="E25" s="10"/>
      <c r="F25" s="10"/>
      <c r="G25" s="16" t="s">
        <v>17</v>
      </c>
      <c r="H25" s="14" t="n">
        <v>0</v>
      </c>
      <c r="I25" s="15" t="n">
        <f aca="false">IF(K20=0,0,(B25+IF(ISNUMBER(E25),E25,0))/K20)</f>
        <v>0</v>
      </c>
    </row>
    <row r="26" customFormat="false" ht="19.5" hidden="false" customHeight="true" outlineLevel="0" collapsed="false">
      <c r="A26" s="17" t="s">
        <v>18</v>
      </c>
      <c r="B26" s="18" t="n">
        <f aca="false">SUM(B22:B25)</f>
        <v>5938</v>
      </c>
      <c r="C26" s="19" t="n">
        <f aca="false">SUM(C22:C25)</f>
        <v>365.5</v>
      </c>
      <c r="D26" s="20" t="n">
        <f aca="false">IF(B26=0,0,C26/B26)</f>
        <v>0.0615527113506231</v>
      </c>
      <c r="E26" s="19" t="n">
        <f aca="false">SUM(E22:E25)</f>
        <v>0</v>
      </c>
      <c r="F26" s="19" t="n">
        <f aca="false">SUM(F22:F25)</f>
        <v>0</v>
      </c>
      <c r="G26" s="20" t="n">
        <f aca="false">IF(B26=0,0,E26/B26)</f>
        <v>0</v>
      </c>
      <c r="H26" s="20" t="n">
        <f aca="false">IF(E26=0,0,F26/E26)</f>
        <v>0</v>
      </c>
      <c r="I26" s="21" t="n">
        <f aca="false">IF(K20=0,0,(B26+IF(ISNUMBER(E26),E26,0))/K20)</f>
        <v>0</v>
      </c>
    </row>
    <row r="27" customFormat="false" ht="6" hidden="false" customHeight="true" outlineLevel="0" collapsed="false"/>
    <row r="28" customFormat="false" ht="21.75" hidden="false" customHeight="true" outlineLevel="0" collapsed="false">
      <c r="A28" s="3" t="s">
        <v>21</v>
      </c>
      <c r="B28" s="3"/>
      <c r="C28" s="3"/>
      <c r="D28" s="3"/>
      <c r="E28" s="3"/>
      <c r="F28" s="3"/>
      <c r="G28" s="3"/>
      <c r="H28" s="3"/>
      <c r="I28" s="3"/>
      <c r="J28" s="4" t="s">
        <v>3</v>
      </c>
      <c r="K28" s="5"/>
    </row>
    <row r="29" customFormat="false" ht="30" hidden="false" customHeight="true" outlineLevel="0" collapsed="false">
      <c r="A29" s="6" t="s">
        <v>4</v>
      </c>
      <c r="B29" s="6" t="s">
        <v>5</v>
      </c>
      <c r="C29" s="6" t="s">
        <v>6</v>
      </c>
      <c r="D29" s="6" t="s">
        <v>7</v>
      </c>
      <c r="E29" s="6" t="s">
        <v>8</v>
      </c>
      <c r="F29" s="6" t="s">
        <v>9</v>
      </c>
      <c r="G29" s="6" t="s">
        <v>10</v>
      </c>
      <c r="H29" s="6" t="s">
        <v>11</v>
      </c>
      <c r="I29" s="6" t="s">
        <v>12</v>
      </c>
    </row>
    <row r="30" customFormat="false" ht="18" hidden="false" customHeight="true" outlineLevel="0" collapsed="false">
      <c r="A30" s="7" t="s">
        <v>13</v>
      </c>
      <c r="B30" s="8" t="n">
        <v>4363.75</v>
      </c>
      <c r="C30" s="8" t="n">
        <v>31</v>
      </c>
      <c r="D30" s="9" t="n">
        <f aca="false">C30/B30</f>
        <v>0.00710398166714408</v>
      </c>
      <c r="E30" s="10"/>
      <c r="F30" s="10"/>
      <c r="G30" s="9" t="n">
        <f aca="false">IF(B30=0,0,E30/B30)</f>
        <v>0</v>
      </c>
      <c r="H30" s="9" t="n">
        <v>0</v>
      </c>
      <c r="I30" s="11" t="n">
        <f aca="false">IF(K28=0,0,(B30+IF(ISNUMBER(E30),E30,0))/K28)</f>
        <v>0</v>
      </c>
    </row>
    <row r="31" customFormat="false" ht="18" hidden="false" customHeight="true" outlineLevel="0" collapsed="false">
      <c r="A31" s="12" t="s">
        <v>14</v>
      </c>
      <c r="B31" s="13" t="n">
        <v>1054.5</v>
      </c>
      <c r="C31" s="13" t="n">
        <v>170.25</v>
      </c>
      <c r="D31" s="14" t="n">
        <f aca="false">C31/B31</f>
        <v>0.161450924608819</v>
      </c>
      <c r="E31" s="10"/>
      <c r="F31" s="10"/>
      <c r="G31" s="14" t="n">
        <f aca="false">IF(B31=0,0,E31/B31)</f>
        <v>0</v>
      </c>
      <c r="H31" s="14" t="n">
        <v>0</v>
      </c>
      <c r="I31" s="15" t="n">
        <f aca="false">IF(K28=0,0,(B31+IF(ISNUMBER(E31),E31,0))/K28)</f>
        <v>0</v>
      </c>
    </row>
    <row r="32" customFormat="false" ht="18" hidden="false" customHeight="true" outlineLevel="0" collapsed="false">
      <c r="A32" s="7" t="s">
        <v>15</v>
      </c>
      <c r="B32" s="8" t="n">
        <v>617.75</v>
      </c>
      <c r="C32" s="8"/>
      <c r="D32" s="9" t="n">
        <f aca="false">C32/B32</f>
        <v>0</v>
      </c>
      <c r="E32" s="10"/>
      <c r="F32" s="10"/>
      <c r="G32" s="9" t="n">
        <f aca="false">IF(B32=0,0,E32/B32)</f>
        <v>0</v>
      </c>
      <c r="H32" s="9" t="n">
        <v>0</v>
      </c>
      <c r="I32" s="11" t="n">
        <f aca="false">IF(K28=0,0,(B32+IF(ISNUMBER(E32),E32,0))/K28)</f>
        <v>0</v>
      </c>
    </row>
    <row r="33" customFormat="false" ht="18" hidden="false" customHeight="true" outlineLevel="0" collapsed="false">
      <c r="A33" s="12" t="s">
        <v>16</v>
      </c>
      <c r="B33" s="13"/>
      <c r="C33" s="13"/>
      <c r="D33" s="14" t="n">
        <v>0</v>
      </c>
      <c r="E33" s="10"/>
      <c r="F33" s="10"/>
      <c r="G33" s="16" t="s">
        <v>17</v>
      </c>
      <c r="H33" s="14" t="n">
        <v>0</v>
      </c>
      <c r="I33" s="15" t="n">
        <f aca="false">IF(K28=0,0,(B33+IF(ISNUMBER(E33),E33,0))/K28)</f>
        <v>0</v>
      </c>
    </row>
    <row r="34" customFormat="false" ht="19.5" hidden="false" customHeight="true" outlineLevel="0" collapsed="false">
      <c r="A34" s="17" t="s">
        <v>18</v>
      </c>
      <c r="B34" s="18" t="n">
        <f aca="false">SUM(B30:B33)</f>
        <v>6036</v>
      </c>
      <c r="C34" s="19" t="n">
        <f aca="false">SUM(C30:C33)</f>
        <v>201.25</v>
      </c>
      <c r="D34" s="20" t="n">
        <f aca="false">IF(B34=0,0,C34/B34)</f>
        <v>0.0333416169648774</v>
      </c>
      <c r="E34" s="19" t="n">
        <f aca="false">SUM(E30:E33)</f>
        <v>0</v>
      </c>
      <c r="F34" s="19" t="n">
        <f aca="false">SUM(F30:F33)</f>
        <v>0</v>
      </c>
      <c r="G34" s="20" t="n">
        <f aca="false">IF(B34=0,0,E34/B34)</f>
        <v>0</v>
      </c>
      <c r="H34" s="20" t="n">
        <f aca="false">IF(E34=0,0,F34/E34)</f>
        <v>0</v>
      </c>
      <c r="I34" s="21" t="n">
        <f aca="false">IF(K28=0,0,(B34+IF(ISNUMBER(E34),E34,0))/K28)</f>
        <v>0</v>
      </c>
    </row>
  </sheetData>
  <mergeCells count="6">
    <mergeCell ref="A1:K1"/>
    <mergeCell ref="A2:K2"/>
    <mergeCell ref="A4:I4"/>
    <mergeCell ref="A12:I12"/>
    <mergeCell ref="A20:I20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7" min="5" style="0" width="14"/>
  </cols>
  <sheetData>
    <row r="1" customFormat="false" ht="25.5" hidden="false" customHeight="true" outlineLevel="0" collapsed="false">
      <c r="A1" s="22" t="s">
        <v>22</v>
      </c>
      <c r="B1" s="22"/>
      <c r="C1" s="22"/>
      <c r="D1" s="22"/>
      <c r="E1" s="22"/>
      <c r="F1" s="22"/>
      <c r="G1" s="22"/>
    </row>
    <row r="2" customFormat="false" ht="13.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23"/>
      <c r="B3" s="23" t="s">
        <v>24</v>
      </c>
      <c r="C3" s="23" t="s">
        <v>4</v>
      </c>
      <c r="D3" s="23" t="s">
        <v>25</v>
      </c>
      <c r="E3" s="23" t="s">
        <v>26</v>
      </c>
      <c r="F3" s="23" t="s">
        <v>6</v>
      </c>
      <c r="G3" s="23" t="s">
        <v>27</v>
      </c>
    </row>
    <row r="4" customFormat="false" ht="15.75" hidden="false" customHeight="true" outlineLevel="0" collapsed="false">
      <c r="A4" s="24"/>
      <c r="B4" s="25" t="s">
        <v>28</v>
      </c>
      <c r="C4" s="25" t="s">
        <v>13</v>
      </c>
      <c r="D4" s="26"/>
      <c r="E4" s="27"/>
      <c r="F4" s="27"/>
      <c r="G4" s="26"/>
    </row>
    <row r="5" customFormat="false" ht="15.75" hidden="false" customHeight="true" outlineLevel="0" collapsed="false">
      <c r="A5" s="28"/>
      <c r="B5" s="29" t="s">
        <v>28</v>
      </c>
      <c r="C5" s="29" t="s">
        <v>14</v>
      </c>
      <c r="D5" s="26"/>
      <c r="E5" s="27"/>
      <c r="F5" s="27"/>
      <c r="G5" s="26"/>
    </row>
    <row r="6" customFormat="false" ht="15.75" hidden="false" customHeight="true" outlineLevel="0" collapsed="false">
      <c r="A6" s="24"/>
      <c r="B6" s="25" t="s">
        <v>28</v>
      </c>
      <c r="C6" s="25" t="s">
        <v>15</v>
      </c>
      <c r="D6" s="26"/>
      <c r="E6" s="27"/>
      <c r="F6" s="27"/>
      <c r="G6" s="26"/>
    </row>
    <row r="7" customFormat="false" ht="15.75" hidden="false" customHeight="true" outlineLevel="0" collapsed="false">
      <c r="A7" s="28"/>
      <c r="B7" s="29" t="s">
        <v>28</v>
      </c>
      <c r="C7" s="29" t="s">
        <v>16</v>
      </c>
      <c r="D7" s="26"/>
      <c r="E7" s="27"/>
      <c r="F7" s="27"/>
      <c r="G7" s="26"/>
    </row>
    <row r="8" customFormat="false" ht="6" hidden="false" customHeight="true" outlineLevel="0" collapsed="false">
      <c r="A8" s="24"/>
      <c r="B8" s="24"/>
      <c r="C8" s="24"/>
      <c r="D8" s="24"/>
      <c r="E8" s="24"/>
      <c r="F8" s="24"/>
      <c r="G8" s="24"/>
    </row>
    <row r="9" customFormat="false" ht="15.75" hidden="false" customHeight="true" outlineLevel="0" collapsed="false">
      <c r="A9" s="28"/>
      <c r="B9" s="29" t="s">
        <v>29</v>
      </c>
      <c r="C9" s="29" t="s">
        <v>13</v>
      </c>
      <c r="D9" s="26"/>
      <c r="E9" s="27"/>
      <c r="F9" s="27"/>
      <c r="G9" s="26"/>
    </row>
    <row r="10" customFormat="false" ht="15.75" hidden="false" customHeight="true" outlineLevel="0" collapsed="false">
      <c r="A10" s="24"/>
      <c r="B10" s="25" t="s">
        <v>29</v>
      </c>
      <c r="C10" s="25" t="s">
        <v>14</v>
      </c>
      <c r="D10" s="26"/>
      <c r="E10" s="27"/>
      <c r="F10" s="27"/>
      <c r="G10" s="26"/>
    </row>
    <row r="11" customFormat="false" ht="15.75" hidden="false" customHeight="true" outlineLevel="0" collapsed="false">
      <c r="A11" s="28"/>
      <c r="B11" s="29" t="s">
        <v>29</v>
      </c>
      <c r="C11" s="29" t="s">
        <v>15</v>
      </c>
      <c r="D11" s="26"/>
      <c r="E11" s="27"/>
      <c r="F11" s="27"/>
      <c r="G11" s="26"/>
    </row>
    <row r="12" customFormat="false" ht="15.75" hidden="false" customHeight="true" outlineLevel="0" collapsed="false">
      <c r="A12" s="24"/>
      <c r="B12" s="25" t="s">
        <v>29</v>
      </c>
      <c r="C12" s="25" t="s">
        <v>16</v>
      </c>
      <c r="D12" s="26"/>
      <c r="E12" s="27"/>
      <c r="F12" s="27"/>
      <c r="G12" s="26"/>
    </row>
    <row r="13" customFormat="false" ht="6" hidden="false" customHeight="true" outlineLevel="0" collapsed="false">
      <c r="A13" s="24"/>
      <c r="B13" s="24"/>
      <c r="C13" s="24"/>
      <c r="D13" s="24"/>
      <c r="E13" s="24"/>
      <c r="F13" s="24"/>
      <c r="G13" s="24"/>
    </row>
    <row r="14" customFormat="false" ht="15.75" hidden="false" customHeight="true" outlineLevel="0" collapsed="false">
      <c r="A14" s="24"/>
      <c r="B14" s="25" t="s">
        <v>30</v>
      </c>
      <c r="C14" s="25" t="s">
        <v>13</v>
      </c>
      <c r="D14" s="26"/>
      <c r="E14" s="27"/>
      <c r="F14" s="27"/>
      <c r="G14" s="26"/>
    </row>
    <row r="15" customFormat="false" ht="15.75" hidden="false" customHeight="true" outlineLevel="0" collapsed="false">
      <c r="A15" s="28"/>
      <c r="B15" s="29" t="s">
        <v>30</v>
      </c>
      <c r="C15" s="29" t="s">
        <v>14</v>
      </c>
      <c r="D15" s="26"/>
      <c r="E15" s="27"/>
      <c r="F15" s="27"/>
      <c r="G15" s="26"/>
    </row>
    <row r="16" customFormat="false" ht="15.75" hidden="false" customHeight="true" outlineLevel="0" collapsed="false">
      <c r="A16" s="24"/>
      <c r="B16" s="25" t="s">
        <v>30</v>
      </c>
      <c r="C16" s="25" t="s">
        <v>15</v>
      </c>
      <c r="D16" s="26"/>
      <c r="E16" s="27"/>
      <c r="F16" s="27"/>
      <c r="G16" s="26"/>
    </row>
    <row r="17" customFormat="false" ht="15.75" hidden="false" customHeight="true" outlineLevel="0" collapsed="false">
      <c r="A17" s="28"/>
      <c r="B17" s="29" t="s">
        <v>30</v>
      </c>
      <c r="C17" s="29" t="s">
        <v>16</v>
      </c>
      <c r="D17" s="26"/>
      <c r="E17" s="27"/>
      <c r="F17" s="27"/>
      <c r="G17" s="26"/>
    </row>
    <row r="18" customFormat="false" ht="6" hidden="false" customHeight="true" outlineLevel="0" collapsed="false">
      <c r="A18" s="24"/>
      <c r="B18" s="24"/>
      <c r="C18" s="24"/>
      <c r="D18" s="24"/>
      <c r="E18" s="24"/>
      <c r="F18" s="24"/>
      <c r="G18" s="24"/>
    </row>
    <row r="19" customFormat="false" ht="15.75" hidden="false" customHeight="true" outlineLevel="0" collapsed="false">
      <c r="A19" s="28"/>
      <c r="B19" s="29" t="s">
        <v>31</v>
      </c>
      <c r="C19" s="29" t="s">
        <v>13</v>
      </c>
      <c r="D19" s="26"/>
      <c r="E19" s="27"/>
      <c r="F19" s="27"/>
      <c r="G19" s="26"/>
    </row>
    <row r="20" customFormat="false" ht="15.75" hidden="false" customHeight="true" outlineLevel="0" collapsed="false">
      <c r="A20" s="24"/>
      <c r="B20" s="25" t="s">
        <v>31</v>
      </c>
      <c r="C20" s="25" t="s">
        <v>14</v>
      </c>
      <c r="D20" s="26"/>
      <c r="E20" s="27"/>
      <c r="F20" s="27"/>
      <c r="G20" s="26"/>
    </row>
    <row r="21" customFormat="false" ht="15.75" hidden="false" customHeight="true" outlineLevel="0" collapsed="false">
      <c r="A21" s="28"/>
      <c r="B21" s="29" t="s">
        <v>31</v>
      </c>
      <c r="C21" s="29" t="s">
        <v>15</v>
      </c>
      <c r="D21" s="26"/>
      <c r="E21" s="27"/>
      <c r="F21" s="27"/>
      <c r="G21" s="26"/>
    </row>
    <row r="22" customFormat="false" ht="15.75" hidden="false" customHeight="true" outlineLevel="0" collapsed="false">
      <c r="A22" s="24"/>
      <c r="B22" s="25" t="s">
        <v>31</v>
      </c>
      <c r="C22" s="25" t="s">
        <v>16</v>
      </c>
      <c r="D22" s="26"/>
      <c r="E22" s="27"/>
      <c r="F22" s="27"/>
      <c r="G22" s="26"/>
    </row>
    <row r="23" customFormat="false" ht="6" hidden="false" customHeight="true" outlineLevel="0" collapsed="false">
      <c r="A23" s="24"/>
      <c r="B23" s="24"/>
      <c r="C23" s="24"/>
      <c r="D23" s="24"/>
      <c r="E23" s="24"/>
      <c r="F23" s="24"/>
      <c r="G23" s="2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25.5" hidden="false" customHeight="true" outlineLevel="0" collapsed="false">
      <c r="A1" s="22" t="s">
        <v>32</v>
      </c>
      <c r="B1" s="22"/>
      <c r="C1" s="22"/>
    </row>
    <row r="2" customFormat="false" ht="18" hidden="false" customHeight="true" outlineLevel="0" collapsed="false">
      <c r="A2" s="30"/>
      <c r="B2" s="31" t="s">
        <v>33</v>
      </c>
      <c r="C2" s="32"/>
    </row>
    <row r="3" customFormat="false" ht="18" hidden="false" customHeight="true" outlineLevel="0" collapsed="false">
      <c r="A3" s="28"/>
      <c r="B3" s="33" t="s">
        <v>34</v>
      </c>
      <c r="C3" s="34" t="s">
        <v>35</v>
      </c>
    </row>
    <row r="4" customFormat="false" ht="18" hidden="false" customHeight="true" outlineLevel="0" collapsed="false">
      <c r="A4" s="24"/>
      <c r="B4" s="35" t="s">
        <v>36</v>
      </c>
      <c r="C4" s="36" t="s">
        <v>37</v>
      </c>
    </row>
    <row r="5" customFormat="false" ht="18" hidden="false" customHeight="true" outlineLevel="0" collapsed="false">
      <c r="A5" s="28"/>
      <c r="B5" s="33" t="s">
        <v>38</v>
      </c>
      <c r="C5" s="34" t="s">
        <v>39</v>
      </c>
    </row>
    <row r="6" customFormat="false" ht="18" hidden="false" customHeight="true" outlineLevel="0" collapsed="false">
      <c r="A6" s="24"/>
      <c r="B6" s="35" t="s">
        <v>40</v>
      </c>
      <c r="C6" s="36" t="s">
        <v>41</v>
      </c>
    </row>
    <row r="7" customFormat="false" ht="18" hidden="false" customHeight="true" outlineLevel="0" collapsed="false">
      <c r="A7" s="28"/>
      <c r="B7" s="33" t="s">
        <v>42</v>
      </c>
      <c r="C7" s="34" t="s">
        <v>43</v>
      </c>
    </row>
    <row r="8" customFormat="false" ht="18" hidden="false" customHeight="true" outlineLevel="0" collapsed="false">
      <c r="A8" s="30"/>
      <c r="B8" s="31"/>
      <c r="C8" s="32"/>
    </row>
    <row r="9" customFormat="false" ht="18" hidden="false" customHeight="true" outlineLevel="0" collapsed="false">
      <c r="A9" s="30"/>
      <c r="B9" s="31" t="s">
        <v>44</v>
      </c>
      <c r="C9" s="32"/>
    </row>
    <row r="10" customFormat="false" ht="18" hidden="false" customHeight="true" outlineLevel="0" collapsed="false">
      <c r="A10" s="24"/>
      <c r="B10" s="35" t="s">
        <v>8</v>
      </c>
      <c r="C10" s="36" t="s">
        <v>45</v>
      </c>
    </row>
    <row r="11" customFormat="false" ht="18" hidden="false" customHeight="true" outlineLevel="0" collapsed="false">
      <c r="A11" s="28"/>
      <c r="B11" s="33" t="s">
        <v>16</v>
      </c>
      <c r="C11" s="34" t="s">
        <v>46</v>
      </c>
    </row>
    <row r="12" customFormat="false" ht="18" hidden="false" customHeight="true" outlineLevel="0" collapsed="false">
      <c r="A12" s="30"/>
      <c r="B12" s="31"/>
      <c r="C12" s="32"/>
    </row>
    <row r="13" customFormat="false" ht="18" hidden="false" customHeight="true" outlineLevel="0" collapsed="false">
      <c r="A13" s="30"/>
      <c r="B13" s="31" t="s">
        <v>12</v>
      </c>
      <c r="C13" s="32"/>
    </row>
    <row r="14" customFormat="false" ht="18" hidden="false" customHeight="true" outlineLevel="0" collapsed="false">
      <c r="A14" s="24"/>
      <c r="B14" s="35" t="s">
        <v>47</v>
      </c>
      <c r="C14" s="36" t="s">
        <v>48</v>
      </c>
    </row>
    <row r="15" customFormat="false" ht="18" hidden="false" customHeight="true" outlineLevel="0" collapsed="false">
      <c r="A15" s="28"/>
      <c r="B15" s="33" t="s">
        <v>49</v>
      </c>
      <c r="C15" s="34" t="s">
        <v>50</v>
      </c>
    </row>
    <row r="16" customFormat="false" ht="18" hidden="false" customHeight="true" outlineLevel="0" collapsed="false">
      <c r="A16" s="30"/>
      <c r="B16" s="31"/>
      <c r="C16" s="32"/>
    </row>
    <row r="17" customFormat="false" ht="18" hidden="false" customHeight="true" outlineLevel="0" collapsed="false">
      <c r="A17" s="30"/>
      <c r="B17" s="31" t="s">
        <v>51</v>
      </c>
      <c r="C17" s="32"/>
    </row>
    <row r="18" customFormat="false" ht="18" hidden="false" customHeight="true" outlineLevel="0" collapsed="false">
      <c r="A18" s="24"/>
      <c r="B18" s="35" t="s">
        <v>52</v>
      </c>
      <c r="C18" s="36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2026-07-02T15:51:52Z</dcterms:created>
  <dc:creator>openpyxl</dc:creator>
  <dc:description/>
  <dc:language>en-US</dc:language>
  <cp:lastModifiedBy/>
  <dcterms:modified xsi:type="dcterms:W3CDTF">2026-07-02T15:51:52Z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